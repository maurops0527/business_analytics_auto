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uro\Downloads\"/>
    </mc:Choice>
  </mc:AlternateContent>
  <xr:revisionPtr revIDLastSave="0" documentId="13_ncr:1_{773717BA-F49F-4A93-8AC5-8C651F261BE9}" xr6:coauthVersionLast="47" xr6:coauthVersionMax="47" xr10:uidLastSave="{00000000-0000-0000-0000-000000000000}"/>
  <bookViews>
    <workbookView xWindow="-110" yWindow="-110" windowWidth="19420" windowHeight="10420" xr2:uid="{A71AFE63-560D-47BF-929C-5D301419174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1" i="1" l="1"/>
  <c r="G31" i="1" s="1"/>
  <c r="H31" i="1" s="1"/>
  <c r="H32" i="1"/>
  <c r="H30" i="1"/>
  <c r="H29" i="1"/>
  <c r="H28" i="1"/>
  <c r="K28" i="1"/>
  <c r="L28" i="1" s="1"/>
  <c r="I29" i="1"/>
  <c r="J29" i="1" s="1"/>
  <c r="G32" i="1"/>
  <c r="G30" i="1"/>
  <c r="G29" i="1"/>
  <c r="G28" i="1"/>
  <c r="G27" i="1"/>
  <c r="H27" i="1" s="1"/>
  <c r="I27" i="1"/>
  <c r="K29" i="1"/>
  <c r="L29" i="1" s="1"/>
  <c r="D32" i="1"/>
  <c r="D30" i="1"/>
  <c r="D29" i="1"/>
  <c r="D28" i="1"/>
  <c r="I28" i="1" s="1"/>
  <c r="D27" i="1"/>
  <c r="H16" i="1"/>
  <c r="G16" i="1"/>
  <c r="H15" i="1"/>
  <c r="G15" i="1"/>
  <c r="H14" i="1"/>
  <c r="G14" i="1"/>
  <c r="H13" i="1"/>
  <c r="G13" i="1"/>
  <c r="H12" i="1"/>
  <c r="G12" i="1"/>
  <c r="H11" i="1"/>
  <c r="G11" i="1"/>
  <c r="I15" i="1"/>
  <c r="E11" i="1"/>
  <c r="C33" i="1"/>
  <c r="F32" i="1" s="1"/>
  <c r="B33" i="1"/>
  <c r="E30" i="1" s="1"/>
  <c r="E16" i="1"/>
  <c r="E15" i="1"/>
  <c r="E14" i="1"/>
  <c r="E13" i="1"/>
  <c r="E12" i="1"/>
  <c r="I7" i="1"/>
  <c r="I6" i="1"/>
  <c r="I5" i="1"/>
  <c r="I4" i="1"/>
  <c r="I3" i="1"/>
  <c r="H7" i="1"/>
  <c r="H6" i="1"/>
  <c r="H5" i="1"/>
  <c r="H4" i="1"/>
  <c r="H3" i="1"/>
  <c r="C24" i="1"/>
  <c r="C23" i="1"/>
  <c r="C22" i="1"/>
  <c r="C21" i="1"/>
  <c r="C20" i="1"/>
  <c r="D16" i="1"/>
  <c r="D15" i="1"/>
  <c r="D14" i="1"/>
  <c r="D13" i="1"/>
  <c r="D12" i="1"/>
  <c r="D8" i="1"/>
  <c r="C8" i="1"/>
  <c r="D9" i="1" s="1"/>
  <c r="B8" i="1"/>
  <c r="F7" i="1"/>
  <c r="F6" i="1"/>
  <c r="F5" i="1"/>
  <c r="F4" i="1"/>
  <c r="F3" i="1"/>
  <c r="F2" i="1"/>
  <c r="E7" i="1"/>
  <c r="E6" i="1"/>
  <c r="E5" i="1"/>
  <c r="E4" i="1"/>
  <c r="E3" i="1"/>
  <c r="E2" i="1"/>
  <c r="H33" i="1" l="1"/>
  <c r="G33" i="1" s="1"/>
  <c r="F33" i="1" s="1"/>
  <c r="G4" i="1"/>
  <c r="I32" i="1"/>
  <c r="I30" i="1"/>
  <c r="I31" i="1"/>
  <c r="I12" i="1"/>
  <c r="I16" i="1"/>
  <c r="I13" i="1"/>
  <c r="I14" i="1"/>
  <c r="G5" i="1"/>
  <c r="J28" i="1"/>
  <c r="G2" i="1"/>
  <c r="G3" i="1"/>
  <c r="D33" i="1"/>
  <c r="G6" i="1"/>
  <c r="I11" i="1"/>
  <c r="F29" i="1"/>
  <c r="F30" i="1"/>
  <c r="E27" i="1"/>
  <c r="E28" i="1"/>
  <c r="E31" i="1"/>
  <c r="E32" i="1"/>
  <c r="G7" i="1"/>
  <c r="G8" i="1"/>
  <c r="E8" i="1"/>
  <c r="F8" i="1"/>
  <c r="F27" i="1"/>
  <c r="F28" i="1"/>
  <c r="E29" i="1"/>
  <c r="F31" i="1"/>
  <c r="K31" i="1" l="1"/>
  <c r="L31" i="1" s="1"/>
  <c r="J31" i="1"/>
  <c r="K30" i="1"/>
  <c r="L30" i="1" s="1"/>
  <c r="J30" i="1"/>
  <c r="J32" i="1"/>
  <c r="K32" i="1"/>
  <c r="L32" i="1" s="1"/>
  <c r="K27" i="1"/>
  <c r="L27" i="1" s="1"/>
  <c r="J27" i="1"/>
  <c r="L33" i="1" l="1"/>
  <c r="K33" i="1" s="1"/>
  <c r="F35" i="1" s="1"/>
  <c r="J33" i="1"/>
  <c r="I33" i="1" s="1"/>
  <c r="F34" i="1" s="1"/>
</calcChain>
</file>

<file path=xl/sharedStrings.xml><?xml version="1.0" encoding="utf-8"?>
<sst xmlns="http://schemas.openxmlformats.org/spreadsheetml/2006/main" count="72" uniqueCount="49">
  <si>
    <t>Mês</t>
  </si>
  <si>
    <t>Prêmio Ganho (R$ milhões)</t>
  </si>
  <si>
    <t>Sinistros (R$ milhões)</t>
  </si>
  <si>
    <t>Salvados (R$ milhões)</t>
  </si>
  <si>
    <t>Jan</t>
  </si>
  <si>
    <t>Fev</t>
  </si>
  <si>
    <t>Mar</t>
  </si>
  <si>
    <t>Abr</t>
  </si>
  <si>
    <t>Mai</t>
  </si>
  <si>
    <t>Jun</t>
  </si>
  <si>
    <t>Exposição (mil veículos)</t>
  </si>
  <si>
    <t>Quantidade de Sinistros</t>
  </si>
  <si>
    <t>Valor Médio por Sinistro</t>
  </si>
  <si>
    <t>Cobertura</t>
  </si>
  <si>
    <t>Quantidade</t>
  </si>
  <si>
    <t>Valor Total (R$ milhões)</t>
  </si>
  <si>
    <t>Colisão Parcial</t>
  </si>
  <si>
    <t>Perda Total</t>
  </si>
  <si>
    <t>Roubo/Furto</t>
  </si>
  <si>
    <t>Vidros</t>
  </si>
  <si>
    <t>Responsabilidade Civil</t>
  </si>
  <si>
    <t>Eventos Climáticos</t>
  </si>
  <si>
    <t>Rede</t>
  </si>
  <si>
    <t>Ticket Médio</t>
  </si>
  <si>
    <t>Referenciada</t>
  </si>
  <si>
    <t>Particular</t>
  </si>
  <si>
    <t>Distribuição dos reparos</t>
  </si>
  <si>
    <t>No ano anterior</t>
  </si>
  <si>
    <t>Indicador</t>
  </si>
  <si>
    <t>Últimos 12 meses</t>
  </si>
  <si>
    <t>IPCA</t>
  </si>
  <si>
    <t>Peças Automotivas</t>
  </si>
  <si>
    <t>Mão de Obra</t>
  </si>
  <si>
    <t>Canal</t>
  </si>
  <si>
    <t>Crescimento de Apólices</t>
  </si>
  <si>
    <t>Corretores</t>
  </si>
  <si>
    <t>Digital</t>
  </si>
  <si>
    <t>Bancário</t>
  </si>
  <si>
    <t>Safra</t>
  </si>
  <si>
    <t>Sinistralidade aos 3 meses</t>
  </si>
  <si>
    <t>Sinistralidade aos 6 meses</t>
  </si>
  <si>
    <t>Sin (%)</t>
  </si>
  <si>
    <t>Var (%)</t>
  </si>
  <si>
    <t>Ticket médio</t>
  </si>
  <si>
    <t>TESTE DE ESTRESSE</t>
  </si>
  <si>
    <t>Custo Médio Evento</t>
  </si>
  <si>
    <t>Rep (%)</t>
  </si>
  <si>
    <t>Impacto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</si>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</sst>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$&quot;\ #,##0;[Red]\-&quot;R$&quot;\ #,##0"/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6" fontId="0" fillId="0" borderId="0" xfId="0" applyNumberFormat="1" applyAlignment="1">
      <alignment horizontal="right" vertical="center"/>
    </xf>
    <xf numFmtId="9" fontId="0" fillId="0" borderId="0" xfId="0" applyNumberFormat="1"/>
    <xf numFmtId="10" fontId="0" fillId="0" borderId="0" xfId="0" applyNumberFormat="1"/>
    <xf numFmtId="10" fontId="0" fillId="0" borderId="0" xfId="0" applyNumberFormat="1" applyAlignment="1">
      <alignment horizontal="right" vertical="center"/>
    </xf>
    <xf numFmtId="9" fontId="0" fillId="0" borderId="0" xfId="0" applyNumberFormat="1" applyAlignment="1">
      <alignment horizontal="right" vertical="center" wrapText="1"/>
    </xf>
    <xf numFmtId="9" fontId="0" fillId="0" borderId="0" xfId="0" applyNumberFormat="1" applyAlignment="1">
      <alignment horizontal="right" vertical="center"/>
    </xf>
    <xf numFmtId="43" fontId="0" fillId="0" borderId="0" xfId="1" applyFont="1"/>
    <xf numFmtId="10" fontId="2" fillId="0" borderId="0" xfId="0" applyNumberFormat="1" applyFont="1"/>
    <xf numFmtId="3" fontId="0" fillId="0" borderId="0" xfId="0" applyNumberFormat="1"/>
    <xf numFmtId="43" fontId="0" fillId="0" borderId="0" xfId="0" applyNumberFormat="1"/>
    <xf numFmtId="10" fontId="0" fillId="0" borderId="0" xfId="1" applyNumberFormat="1" applyFont="1"/>
    <xf numFmtId="10" fontId="2" fillId="2" borderId="0" xfId="0" applyNumberFormat="1" applyFont="1" applyFill="1"/>
    <xf numFmtId="10" fontId="2" fillId="3" borderId="0" xfId="0" applyNumberFormat="1" applyFont="1" applyFill="1"/>
    <xf numFmtId="9" fontId="0" fillId="0" borderId="1" xfId="0" applyNumberFormat="1" applyBorder="1"/>
    <xf numFmtId="0" fontId="0" fillId="0" borderId="2" xfId="0" applyBorder="1"/>
    <xf numFmtId="9" fontId="0" fillId="0" borderId="3" xfId="0" applyNumberFormat="1" applyBorder="1"/>
    <xf numFmtId="0" fontId="2" fillId="0" borderId="4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5" xfId="0" applyBorder="1" applyAlignment="1">
      <alignment vertical="center"/>
    </xf>
    <xf numFmtId="43" fontId="0" fillId="0" borderId="6" xfId="0" applyNumberFormat="1" applyBorder="1"/>
    <xf numFmtId="0" fontId="0" fillId="0" borderId="7" xfId="0" applyBorder="1" applyAlignment="1">
      <alignment vertical="center"/>
    </xf>
    <xf numFmtId="0" fontId="0" fillId="0" borderId="4" xfId="0" applyBorder="1" applyAlignment="1">
      <alignment horizontal="right" vertical="center"/>
    </xf>
    <xf numFmtId="43" fontId="0" fillId="0" borderId="4" xfId="1" applyFont="1" applyBorder="1"/>
    <xf numFmtId="10" fontId="0" fillId="0" borderId="4" xfId="0" applyNumberFormat="1" applyBorder="1"/>
    <xf numFmtId="43" fontId="0" fillId="0" borderId="4" xfId="0" applyNumberFormat="1" applyBorder="1"/>
    <xf numFmtId="43" fontId="2" fillId="4" borderId="4" xfId="0" applyNumberFormat="1" applyFont="1" applyFill="1" applyBorder="1"/>
    <xf numFmtId="43" fontId="0" fillId="0" borderId="8" xfId="0" applyNumberFormat="1" applyBorder="1"/>
    <xf numFmtId="0" fontId="2" fillId="0" borderId="4" xfId="0" applyFont="1" applyBorder="1" applyAlignment="1">
      <alignment horizontal="right" vertical="center"/>
    </xf>
    <xf numFmtId="43" fontId="2" fillId="0" borderId="4" xfId="1" applyFont="1" applyBorder="1"/>
    <xf numFmtId="0" fontId="3" fillId="0" borderId="0" xfId="0" applyFont="1"/>
    <xf numFmtId="10" fontId="2" fillId="0" borderId="4" xfId="0" applyNumberFormat="1" applyFont="1" applyBorder="1"/>
    <xf numFmtId="0" fontId="2" fillId="0" borderId="4" xfId="0" applyFont="1" applyBorder="1" applyAlignment="1">
      <alignment horizontal="center" vertical="center"/>
    </xf>
    <xf numFmtId="0" fontId="0" fillId="0" borderId="4" xfId="0" applyBorder="1"/>
    <xf numFmtId="9" fontId="0" fillId="0" borderId="2" xfId="0" applyNumberFormat="1" applyBorder="1"/>
    <xf numFmtId="43" fontId="2" fillId="0" borderId="0" xfId="1" applyFont="1" applyBorder="1"/>
    <xf numFmtId="43" fontId="2" fillId="4" borderId="0" xfId="0" applyNumberFormat="1" applyFont="1" applyFill="1"/>
    <xf numFmtId="43" fontId="0" fillId="0" borderId="9" xfId="0" applyNumberFormat="1" applyBorder="1"/>
    <xf numFmtId="0" fontId="0" fillId="0" borderId="10" xfId="0" applyBorder="1" applyAlignment="1">
      <alignment vertical="center"/>
    </xf>
    <xf numFmtId="10" fontId="2" fillId="3" borderId="0" xfId="2" applyNumberFormat="1" applyFont="1" applyFill="1"/>
    <xf numFmtId="0" fontId="4" fillId="0" borderId="0" xfId="0" applyFont="1"/>
    <xf numFmtId="0" fontId="2" fillId="2" borderId="0" xfId="0" applyFont="1" applyFill="1" applyAlignment="1">
      <alignment horizontal="right" vertical="center"/>
    </xf>
    <xf numFmtId="10" fontId="2" fillId="5" borderId="0" xfId="0" applyNumberFormat="1" applyFont="1" applyFill="1"/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Planilha1!$A$2:$A$7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Planilha1!$F$2:$F$7</c:f>
              <c:numCache>
                <c:formatCode>0.00%</c:formatCode>
                <c:ptCount val="6"/>
                <c:pt idx="0">
                  <c:v>0.56166666666666676</c:v>
                </c:pt>
                <c:pt idx="1">
                  <c:v>0.58487394957983185</c:v>
                </c:pt>
                <c:pt idx="2">
                  <c:v>0.5991525423728814</c:v>
                </c:pt>
                <c:pt idx="3">
                  <c:v>0.61016949152542377</c:v>
                </c:pt>
                <c:pt idx="4">
                  <c:v>0.6333333333333333</c:v>
                </c:pt>
                <c:pt idx="5">
                  <c:v>0.65689655172413797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73-408F-8503-BFD16956A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7550303"/>
        <c:axId val="1945307711"/>
      </c:lineChart>
      <c:catAx>
        <c:axId val="202755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5307711"/>
        <c:crosses val="autoZero"/>
        <c:auto val="1"/>
        <c:lblAlgn val="ctr"/>
        <c:lblOffset val="100"/>
        <c:noMultiLvlLbl val="0"/>
      </c:catAx>
      <c:valAx>
        <c:axId val="194530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7550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422671</xdr:colOff>
      <xdr:row>8</xdr:row>
      <xdr:rowOff>75009</xdr:rowOff>
    </xdr:from>
    <xdr:to>
      <xdr:col>18</xdr:col>
      <xdr:colOff>136921</xdr:colOff>
      <xdr:row>22</xdr:row>
      <xdr:rowOff>151209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74B2D6-1873-2AB5-B1F1-F4A88F3DD0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59531</xdr:colOff>
      <xdr:row>33</xdr:row>
      <xdr:rowOff>95250</xdr:rowOff>
    </xdr:from>
    <xdr:to>
      <xdr:col>8</xdr:col>
      <xdr:colOff>0</xdr:colOff>
      <xdr:row>34</xdr:row>
      <xdr:rowOff>107156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2AAE279B-A0B8-D075-188E-1B2D13479FE2}"/>
            </a:ext>
          </a:extLst>
        </xdr:cNvPr>
        <xdr:cNvCxnSpPr/>
      </xdr:nvCxnSpPr>
      <xdr:spPr>
        <a:xfrm flipH="1" flipV="1">
          <a:off x="7036594" y="6417469"/>
          <a:ext cx="1595437" cy="20240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242C-22A1-4B90-B4E3-57371096C234}">
  <dimension ref="A1:L53"/>
  <sheetViews>
    <sheetView showGridLines="0" tabSelected="1" zoomScale="80" zoomScaleNormal="80" workbookViewId="0">
      <selection activeCell="B5" sqref="B5"/>
    </sheetView>
  </sheetViews>
  <sheetFormatPr defaultRowHeight="14.5" x14ac:dyDescent="0.35"/>
  <cols>
    <col min="1" max="1" width="17.7265625" customWidth="1"/>
    <col min="2" max="2" width="26.1796875" bestFit="1" customWidth="1"/>
    <col min="3" max="4" width="21.1796875" bestFit="1" customWidth="1"/>
    <col min="6" max="6" width="9.7265625" customWidth="1"/>
    <col min="7" max="7" width="12.453125" customWidth="1"/>
    <col min="8" max="8" width="12.26953125" bestFit="1" customWidth="1"/>
    <col min="9" max="9" width="12.453125" customWidth="1"/>
    <col min="10" max="10" width="12.26953125" bestFit="1" customWidth="1"/>
    <col min="11" max="11" width="12.1796875" customWidth="1"/>
  </cols>
  <sheetData>
    <row r="1" spans="1:9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41</v>
      </c>
      <c r="F1" s="52" t="s">
        <v>41</v>
      </c>
      <c r="G1" s="6" t="s">
        <v>42</v>
      </c>
    </row>
    <row r="2" spans="1:9" x14ac:dyDescent="0.35">
      <c r="A2" s="4" t="s">
        <v>4</v>
      </c>
      <c r="B2" s="2">
        <v>120</v>
      </c>
      <c r="C2" s="2">
        <v>73</v>
      </c>
      <c r="D2" s="2">
        <v>5.6</v>
      </c>
      <c r="E2" s="13">
        <f>C2/B2</f>
        <v>0.60833333333333328</v>
      </c>
      <c r="F2" s="22">
        <f>(C2-D2)/B2</f>
        <v>0.56166666666666676</v>
      </c>
      <c r="G2" s="13">
        <f>F2-E2</f>
        <v>-4.6666666666666523E-2</v>
      </c>
    </row>
    <row r="3" spans="1:9" x14ac:dyDescent="0.35">
      <c r="A3" s="4" t="s">
        <v>5</v>
      </c>
      <c r="B3" s="2">
        <v>119</v>
      </c>
      <c r="C3" s="2">
        <v>75</v>
      </c>
      <c r="D3" s="2">
        <v>5.4</v>
      </c>
      <c r="E3" s="13">
        <f t="shared" ref="E3:E8" si="0">C3/B3</f>
        <v>0.63025210084033612</v>
      </c>
      <c r="F3" s="22">
        <f t="shared" ref="F3:F8" si="1">(C3-D3)/B3</f>
        <v>0.58487394957983185</v>
      </c>
      <c r="G3" s="13">
        <f t="shared" ref="G3:G7" si="2">F3-E3</f>
        <v>-4.5378151260504263E-2</v>
      </c>
      <c r="H3" s="13">
        <f>B3/B2-1</f>
        <v>-8.3333333333333037E-3</v>
      </c>
      <c r="I3" s="13">
        <f>C3/C2-1</f>
        <v>2.7397260273972712E-2</v>
      </c>
    </row>
    <row r="4" spans="1:9" x14ac:dyDescent="0.35">
      <c r="A4" s="4" t="s">
        <v>6</v>
      </c>
      <c r="B4" s="2">
        <v>118</v>
      </c>
      <c r="C4" s="2">
        <v>76</v>
      </c>
      <c r="D4" s="2">
        <v>5.3</v>
      </c>
      <c r="E4" s="13">
        <f t="shared" si="0"/>
        <v>0.64406779661016944</v>
      </c>
      <c r="F4" s="22">
        <f t="shared" si="1"/>
        <v>0.5991525423728814</v>
      </c>
      <c r="G4" s="13">
        <f t="shared" si="2"/>
        <v>-4.4915254237288038E-2</v>
      </c>
      <c r="H4" s="13">
        <f t="shared" ref="H4:I7" si="3">B4/B3-1</f>
        <v>-8.4033613445377853E-3</v>
      </c>
      <c r="I4" s="13">
        <f t="shared" si="3"/>
        <v>1.3333333333333419E-2</v>
      </c>
    </row>
    <row r="5" spans="1:9" x14ac:dyDescent="0.35">
      <c r="A5" s="4" t="s">
        <v>7</v>
      </c>
      <c r="B5" s="2">
        <v>118</v>
      </c>
      <c r="C5" s="2">
        <v>77</v>
      </c>
      <c r="D5" s="2">
        <v>5</v>
      </c>
      <c r="E5" s="13">
        <f t="shared" si="0"/>
        <v>0.65254237288135597</v>
      </c>
      <c r="F5" s="22">
        <f t="shared" si="1"/>
        <v>0.61016949152542377</v>
      </c>
      <c r="G5" s="13">
        <f t="shared" si="2"/>
        <v>-4.2372881355932202E-2</v>
      </c>
      <c r="H5" s="13">
        <f t="shared" si="3"/>
        <v>0</v>
      </c>
      <c r="I5" s="13">
        <f t="shared" si="3"/>
        <v>1.3157894736842035E-2</v>
      </c>
    </row>
    <row r="6" spans="1:9" x14ac:dyDescent="0.35">
      <c r="A6" s="4" t="s">
        <v>8</v>
      </c>
      <c r="B6" s="2">
        <v>117</v>
      </c>
      <c r="C6" s="2">
        <v>79</v>
      </c>
      <c r="D6" s="2">
        <v>4.9000000000000004</v>
      </c>
      <c r="E6" s="13">
        <f t="shared" si="0"/>
        <v>0.67521367521367526</v>
      </c>
      <c r="F6" s="22">
        <f t="shared" si="1"/>
        <v>0.6333333333333333</v>
      </c>
      <c r="G6" s="13">
        <f t="shared" si="2"/>
        <v>-4.1880341880341954E-2</v>
      </c>
      <c r="H6" s="13">
        <f t="shared" si="3"/>
        <v>-8.4745762711864181E-3</v>
      </c>
      <c r="I6" s="13">
        <f t="shared" si="3"/>
        <v>2.5974025974025983E-2</v>
      </c>
    </row>
    <row r="7" spans="1:9" x14ac:dyDescent="0.35">
      <c r="A7" s="4" t="s">
        <v>9</v>
      </c>
      <c r="B7" s="2">
        <v>116</v>
      </c>
      <c r="C7" s="2">
        <v>81</v>
      </c>
      <c r="D7" s="2">
        <v>4.8</v>
      </c>
      <c r="E7" s="13">
        <f t="shared" si="0"/>
        <v>0.69827586206896552</v>
      </c>
      <c r="F7" s="22">
        <f t="shared" si="1"/>
        <v>0.65689655172413797</v>
      </c>
      <c r="G7" s="13">
        <f t="shared" si="2"/>
        <v>-4.1379310344827558E-2</v>
      </c>
      <c r="H7" s="13">
        <f t="shared" si="3"/>
        <v>-8.5470085470085166E-3</v>
      </c>
      <c r="I7" s="13">
        <f t="shared" si="3"/>
        <v>2.5316455696202445E-2</v>
      </c>
    </row>
    <row r="8" spans="1:9" x14ac:dyDescent="0.35">
      <c r="A8" s="4"/>
      <c r="B8" s="2">
        <f>SUM(B2:B7)</f>
        <v>708</v>
      </c>
      <c r="C8" s="2">
        <f>SUM(C2:C7)</f>
        <v>461</v>
      </c>
      <c r="D8" s="2">
        <f>SUM(D2:D7)</f>
        <v>31.000000000000004</v>
      </c>
      <c r="E8" s="13">
        <f t="shared" si="0"/>
        <v>0.65112994350282483</v>
      </c>
      <c r="F8" s="53">
        <f t="shared" si="1"/>
        <v>0.60734463276836159</v>
      </c>
      <c r="G8" s="13">
        <f>AVERAGE(G2:G7)</f>
        <v>-4.3765434290926754E-2</v>
      </c>
      <c r="H8" s="13"/>
      <c r="I8" s="13"/>
    </row>
    <row r="9" spans="1:9" x14ac:dyDescent="0.35">
      <c r="D9" s="13">
        <f>D8/C8</f>
        <v>6.7245119305856846E-2</v>
      </c>
      <c r="E9" s="13"/>
      <c r="F9" s="13"/>
      <c r="G9" s="13"/>
    </row>
    <row r="10" spans="1:9" x14ac:dyDescent="0.35">
      <c r="A10" s="5" t="s">
        <v>0</v>
      </c>
      <c r="B10" s="6" t="s">
        <v>10</v>
      </c>
      <c r="C10" s="6" t="s">
        <v>11</v>
      </c>
      <c r="G10">
        <v>1000000</v>
      </c>
      <c r="H10">
        <v>1000</v>
      </c>
      <c r="I10" t="s">
        <v>43</v>
      </c>
    </row>
    <row r="11" spans="1:9" x14ac:dyDescent="0.35">
      <c r="A11" s="4" t="s">
        <v>4</v>
      </c>
      <c r="B11" s="2">
        <v>168</v>
      </c>
      <c r="C11" s="7">
        <v>5220</v>
      </c>
      <c r="E11">
        <f>C2*1000000/C11</f>
        <v>13984.674329501915</v>
      </c>
      <c r="G11">
        <f>B2*$G$10</f>
        <v>120000000</v>
      </c>
      <c r="H11">
        <f>B11*$H$10</f>
        <v>168000</v>
      </c>
      <c r="I11">
        <f>G11/H11</f>
        <v>714.28571428571433</v>
      </c>
    </row>
    <row r="12" spans="1:9" x14ac:dyDescent="0.35">
      <c r="A12" s="4" t="s">
        <v>5</v>
      </c>
      <c r="B12" s="2">
        <v>169</v>
      </c>
      <c r="C12" s="7">
        <v>5180</v>
      </c>
      <c r="D12" s="13">
        <f>C12/C11-1</f>
        <v>-7.6628352490420992E-3</v>
      </c>
      <c r="E12">
        <f t="shared" ref="E12:E16" si="4">C3*1000000/C12</f>
        <v>14478.764478764479</v>
      </c>
      <c r="G12">
        <f t="shared" ref="G12:G16" si="5">B3*$G$10</f>
        <v>119000000</v>
      </c>
      <c r="H12">
        <f t="shared" ref="H12:H16" si="6">B12*$H$10</f>
        <v>169000</v>
      </c>
      <c r="I12">
        <f t="shared" ref="I12:I16" si="7">G12/H12</f>
        <v>704.14201183431953</v>
      </c>
    </row>
    <row r="13" spans="1:9" x14ac:dyDescent="0.35">
      <c r="A13" s="4" t="s">
        <v>6</v>
      </c>
      <c r="B13" s="2">
        <v>170</v>
      </c>
      <c r="C13" s="7">
        <v>5120</v>
      </c>
      <c r="D13" s="13">
        <f>C13/C12-1</f>
        <v>-1.158301158301156E-2</v>
      </c>
      <c r="E13">
        <f t="shared" si="4"/>
        <v>14843.75</v>
      </c>
      <c r="G13">
        <f t="shared" si="5"/>
        <v>118000000</v>
      </c>
      <c r="H13">
        <f t="shared" si="6"/>
        <v>170000</v>
      </c>
      <c r="I13">
        <f t="shared" si="7"/>
        <v>694.11764705882354</v>
      </c>
    </row>
    <row r="14" spans="1:9" x14ac:dyDescent="0.35">
      <c r="A14" s="4" t="s">
        <v>7</v>
      </c>
      <c r="B14" s="2">
        <v>171</v>
      </c>
      <c r="C14" s="7">
        <v>5040</v>
      </c>
      <c r="D14" s="13">
        <f>C14/C13-1</f>
        <v>-1.5625E-2</v>
      </c>
      <c r="E14">
        <f t="shared" si="4"/>
        <v>15277.777777777777</v>
      </c>
      <c r="G14">
        <f t="shared" si="5"/>
        <v>118000000</v>
      </c>
      <c r="H14">
        <f t="shared" si="6"/>
        <v>171000</v>
      </c>
      <c r="I14">
        <f t="shared" si="7"/>
        <v>690.05847953216369</v>
      </c>
    </row>
    <row r="15" spans="1:9" x14ac:dyDescent="0.35">
      <c r="A15" s="4" t="s">
        <v>8</v>
      </c>
      <c r="B15" s="2">
        <v>172</v>
      </c>
      <c r="C15" s="7">
        <v>4980</v>
      </c>
      <c r="D15" s="13">
        <f>C15/C14-1</f>
        <v>-1.1904761904761862E-2</v>
      </c>
      <c r="E15">
        <f t="shared" si="4"/>
        <v>15863.453815261044</v>
      </c>
      <c r="G15">
        <f t="shared" si="5"/>
        <v>117000000</v>
      </c>
      <c r="H15">
        <f t="shared" si="6"/>
        <v>172000</v>
      </c>
      <c r="I15">
        <f t="shared" si="7"/>
        <v>680.23255813953483</v>
      </c>
    </row>
    <row r="16" spans="1:9" x14ac:dyDescent="0.35">
      <c r="A16" s="4" t="s">
        <v>9</v>
      </c>
      <c r="B16" s="2">
        <v>173</v>
      </c>
      <c r="C16" s="7">
        <v>4930</v>
      </c>
      <c r="D16" s="13">
        <f>C16/C15-1</f>
        <v>-1.0040160642570295E-2</v>
      </c>
      <c r="E16">
        <f t="shared" si="4"/>
        <v>16430.02028397566</v>
      </c>
      <c r="G16">
        <f t="shared" si="5"/>
        <v>116000000</v>
      </c>
      <c r="H16">
        <f t="shared" si="6"/>
        <v>173000</v>
      </c>
      <c r="I16">
        <f t="shared" si="7"/>
        <v>670.52023121387288</v>
      </c>
    </row>
    <row r="18" spans="1:12" x14ac:dyDescent="0.35">
      <c r="A18" s="1" t="s">
        <v>0</v>
      </c>
      <c r="B18" s="3" t="s">
        <v>12</v>
      </c>
    </row>
    <row r="19" spans="1:12" x14ac:dyDescent="0.35">
      <c r="A19" s="4" t="s">
        <v>4</v>
      </c>
      <c r="B19" s="7">
        <v>13980</v>
      </c>
    </row>
    <row r="20" spans="1:12" x14ac:dyDescent="0.35">
      <c r="A20" s="4" t="s">
        <v>5</v>
      </c>
      <c r="B20" s="7">
        <v>14480</v>
      </c>
      <c r="C20" s="13">
        <f>B20/B19-1</f>
        <v>3.5765379113018581E-2</v>
      </c>
    </row>
    <row r="21" spans="1:12" x14ac:dyDescent="0.35">
      <c r="A21" s="4" t="s">
        <v>6</v>
      </c>
      <c r="B21" s="7">
        <v>14850</v>
      </c>
      <c r="C21" s="13">
        <f>B21/B20-1</f>
        <v>2.5552486187845336E-2</v>
      </c>
      <c r="I21" t="s">
        <v>48</v>
      </c>
    </row>
    <row r="22" spans="1:12" x14ac:dyDescent="0.35">
      <c r="A22" s="4" t="s">
        <v>7</v>
      </c>
      <c r="B22" s="7">
        <v>15280</v>
      </c>
      <c r="C22" s="13">
        <f>B22/B21-1</f>
        <v>2.8956228956228847E-2</v>
      </c>
    </row>
    <row r="23" spans="1:12" x14ac:dyDescent="0.35">
      <c r="A23" s="4" t="s">
        <v>8</v>
      </c>
      <c r="B23" s="7">
        <v>15860</v>
      </c>
      <c r="C23" s="13">
        <f>B23/B22-1</f>
        <v>3.7958115183245988E-2</v>
      </c>
    </row>
    <row r="24" spans="1:12" x14ac:dyDescent="0.35">
      <c r="A24" s="4" t="s">
        <v>9</v>
      </c>
      <c r="B24" s="7">
        <v>16430</v>
      </c>
      <c r="C24" s="13">
        <f>B24/B23-1</f>
        <v>3.5939470365699888E-2</v>
      </c>
    </row>
    <row r="25" spans="1:12" ht="15" thickBot="1" x14ac:dyDescent="0.4">
      <c r="D25" s="41">
        <v>1000000</v>
      </c>
      <c r="G25" s="55" t="s">
        <v>44</v>
      </c>
      <c r="H25" s="55"/>
      <c r="I25" s="55"/>
      <c r="J25" s="55"/>
      <c r="K25" s="55"/>
    </row>
    <row r="26" spans="1:12" ht="15" thickBot="1" x14ac:dyDescent="0.4">
      <c r="A26" s="43" t="s">
        <v>13</v>
      </c>
      <c r="B26" s="39" t="s">
        <v>14</v>
      </c>
      <c r="C26" s="39" t="s">
        <v>15</v>
      </c>
      <c r="D26" s="27" t="s">
        <v>45</v>
      </c>
      <c r="E26" s="27" t="s">
        <v>46</v>
      </c>
      <c r="F26" s="27" t="s">
        <v>46</v>
      </c>
      <c r="G26" s="24">
        <v>0.2</v>
      </c>
      <c r="H26" s="25"/>
      <c r="I26" s="45">
        <v>0.2</v>
      </c>
      <c r="J26" s="25"/>
      <c r="K26" s="26">
        <v>0.2</v>
      </c>
      <c r="L26" s="44"/>
    </row>
    <row r="27" spans="1:12" x14ac:dyDescent="0.35">
      <c r="A27" s="30" t="s">
        <v>16</v>
      </c>
      <c r="B27" s="9">
        <v>2730</v>
      </c>
      <c r="C27" s="10">
        <v>23</v>
      </c>
      <c r="D27" s="17">
        <f t="shared" ref="D27:D32" si="8">C27*$D$25/B27</f>
        <v>8424.9084249084244</v>
      </c>
      <c r="E27" s="13">
        <f t="shared" ref="E27:E32" si="9">B27/$B$33</f>
        <v>0.54874371859296478</v>
      </c>
      <c r="F27" s="13">
        <f t="shared" ref="F27:F32" si="10">C27/$C$33</f>
        <v>0.28325123152709358</v>
      </c>
      <c r="G27" s="47">
        <f>D27-D27*G26</f>
        <v>6739.9267399267392</v>
      </c>
      <c r="H27" s="20">
        <f>G27*B27/$D$25</f>
        <v>18.399999999999995</v>
      </c>
      <c r="I27" s="20">
        <f>D27</f>
        <v>8424.9084249084244</v>
      </c>
      <c r="J27" s="20">
        <f t="shared" ref="J27:J32" si="11">I27*B27/$D$25</f>
        <v>23</v>
      </c>
      <c r="K27" s="20">
        <f>I27</f>
        <v>8424.9084249084244</v>
      </c>
      <c r="L27" s="31">
        <f t="shared" ref="L27:L32" si="12">K27*B27/$D$25</f>
        <v>23</v>
      </c>
    </row>
    <row r="28" spans="1:12" x14ac:dyDescent="0.35">
      <c r="A28" s="49" t="s">
        <v>17</v>
      </c>
      <c r="B28" s="6">
        <v>610</v>
      </c>
      <c r="C28" s="10">
        <v>21</v>
      </c>
      <c r="D28" s="46">
        <f t="shared" si="8"/>
        <v>34426.229508196724</v>
      </c>
      <c r="E28" s="13">
        <f t="shared" si="9"/>
        <v>0.12261306532663317</v>
      </c>
      <c r="F28" s="18">
        <f t="shared" si="10"/>
        <v>0.25862068965517243</v>
      </c>
      <c r="G28" s="20">
        <f>D28</f>
        <v>34426.229508196724</v>
      </c>
      <c r="H28" s="20">
        <f t="shared" ref="H28:H32" si="13">G28*B28/$D$25</f>
        <v>21</v>
      </c>
      <c r="I28" s="47">
        <f>D28-D28*$I$26</f>
        <v>27540.98360655738</v>
      </c>
      <c r="J28" s="20">
        <f t="shared" si="11"/>
        <v>16.8</v>
      </c>
      <c r="K28" s="20">
        <f>D28</f>
        <v>34426.229508196724</v>
      </c>
      <c r="L28" s="48">
        <f t="shared" si="12"/>
        <v>21</v>
      </c>
    </row>
    <row r="29" spans="1:12" ht="15" thickBot="1" x14ac:dyDescent="0.4">
      <c r="A29" s="32" t="s">
        <v>18</v>
      </c>
      <c r="B29" s="39">
        <v>790</v>
      </c>
      <c r="C29" s="33">
        <v>18</v>
      </c>
      <c r="D29" s="40">
        <f t="shared" si="8"/>
        <v>22784.810126582277</v>
      </c>
      <c r="E29" s="35">
        <f t="shared" si="9"/>
        <v>0.15879396984924624</v>
      </c>
      <c r="F29" s="42">
        <f t="shared" si="10"/>
        <v>0.22167487684729062</v>
      </c>
      <c r="G29" s="34">
        <f t="shared" ref="G29:G32" si="14">D29</f>
        <v>22784.810126582277</v>
      </c>
      <c r="H29" s="36">
        <f t="shared" si="13"/>
        <v>18</v>
      </c>
      <c r="I29" s="36">
        <f>D29</f>
        <v>22784.810126582277</v>
      </c>
      <c r="J29" s="36">
        <f t="shared" si="11"/>
        <v>18</v>
      </c>
      <c r="K29" s="37">
        <f>I29-I29*$K$26</f>
        <v>18227.848101265823</v>
      </c>
      <c r="L29" s="38">
        <f t="shared" si="12"/>
        <v>14.4</v>
      </c>
    </row>
    <row r="30" spans="1:12" x14ac:dyDescent="0.35">
      <c r="A30" s="8" t="s">
        <v>19</v>
      </c>
      <c r="B30" s="10">
        <v>420</v>
      </c>
      <c r="C30" s="10">
        <v>1.4</v>
      </c>
      <c r="D30" s="17">
        <f t="shared" si="8"/>
        <v>3333.3333333333335</v>
      </c>
      <c r="E30" s="13">
        <f t="shared" si="9"/>
        <v>8.4422110552763815E-2</v>
      </c>
      <c r="F30" s="13">
        <f t="shared" si="10"/>
        <v>1.7241379310344827E-2</v>
      </c>
      <c r="G30" s="17">
        <f t="shared" si="14"/>
        <v>3333.3333333333335</v>
      </c>
      <c r="H30" s="20">
        <f t="shared" si="13"/>
        <v>1.4</v>
      </c>
      <c r="I30" s="20">
        <f>D30</f>
        <v>3333.3333333333335</v>
      </c>
      <c r="J30" s="20">
        <f t="shared" si="11"/>
        <v>1.4</v>
      </c>
      <c r="K30" s="20">
        <f t="shared" ref="K30:K32" si="15">I30</f>
        <v>3333.3333333333335</v>
      </c>
      <c r="L30" s="20">
        <f t="shared" si="12"/>
        <v>1.4</v>
      </c>
    </row>
    <row r="31" spans="1:12" x14ac:dyDescent="0.35">
      <c r="A31" s="8" t="s">
        <v>20</v>
      </c>
      <c r="B31" s="10">
        <v>380</v>
      </c>
      <c r="C31" s="10">
        <v>10</v>
      </c>
      <c r="D31" s="17">
        <f t="shared" si="8"/>
        <v>26315.78947368421</v>
      </c>
      <c r="E31" s="13">
        <f t="shared" si="9"/>
        <v>7.6381909547738699E-2</v>
      </c>
      <c r="F31" s="13">
        <f t="shared" si="10"/>
        <v>0.12315270935960591</v>
      </c>
      <c r="G31" s="17">
        <f t="shared" si="14"/>
        <v>26315.78947368421</v>
      </c>
      <c r="H31" s="20">
        <f t="shared" si="13"/>
        <v>10</v>
      </c>
      <c r="I31" s="20">
        <f>D31</f>
        <v>26315.78947368421</v>
      </c>
      <c r="J31" s="20">
        <f t="shared" si="11"/>
        <v>10</v>
      </c>
      <c r="K31" s="20">
        <f t="shared" si="15"/>
        <v>26315.78947368421</v>
      </c>
      <c r="L31" s="20">
        <f t="shared" si="12"/>
        <v>10</v>
      </c>
    </row>
    <row r="32" spans="1:12" x14ac:dyDescent="0.35">
      <c r="A32" s="8" t="s">
        <v>21</v>
      </c>
      <c r="B32" s="10">
        <v>45</v>
      </c>
      <c r="C32" s="10">
        <v>7.8</v>
      </c>
      <c r="D32" s="17">
        <f t="shared" si="8"/>
        <v>173333.33333333334</v>
      </c>
      <c r="E32" s="13">
        <f t="shared" si="9"/>
        <v>9.0452261306532659E-3</v>
      </c>
      <c r="F32" s="13">
        <f t="shared" si="10"/>
        <v>9.6059113300492605E-2</v>
      </c>
      <c r="G32" s="17">
        <f t="shared" si="14"/>
        <v>173333.33333333334</v>
      </c>
      <c r="H32" s="20">
        <f t="shared" si="13"/>
        <v>7.8</v>
      </c>
      <c r="I32" s="20">
        <f>D32</f>
        <v>173333.33333333334</v>
      </c>
      <c r="J32" s="20">
        <f t="shared" si="11"/>
        <v>7.8</v>
      </c>
      <c r="K32" s="20">
        <f t="shared" si="15"/>
        <v>173333.33333333334</v>
      </c>
      <c r="L32" s="20">
        <f t="shared" si="12"/>
        <v>7.8</v>
      </c>
    </row>
    <row r="33" spans="1:12" x14ac:dyDescent="0.35">
      <c r="B33" s="19">
        <f>SUM(B27:B32)</f>
        <v>4975</v>
      </c>
      <c r="C33" s="19">
        <f>SUM(C27:C32)</f>
        <v>81.2</v>
      </c>
      <c r="D33" s="21">
        <f>C33/B7</f>
        <v>0.70000000000000007</v>
      </c>
      <c r="E33" s="18"/>
      <c r="F33" s="22">
        <f>G33-D33</f>
        <v>-3.9655172413793349E-2</v>
      </c>
      <c r="G33" s="50">
        <f>H33/B7</f>
        <v>0.66034482758620672</v>
      </c>
      <c r="H33" s="20">
        <f>SUM(H27:H32)</f>
        <v>76.59999999999998</v>
      </c>
      <c r="I33" s="23">
        <f>J33/B7</f>
        <v>0.66379310344827569</v>
      </c>
      <c r="J33" s="20">
        <f>SUM(J27:J32)</f>
        <v>76.999999999999986</v>
      </c>
      <c r="K33" s="23">
        <f>L33/B7</f>
        <v>0.66896551724137931</v>
      </c>
      <c r="L33" s="20">
        <f>SUM(L27:L32)</f>
        <v>77.599999999999994</v>
      </c>
    </row>
    <row r="34" spans="1:12" x14ac:dyDescent="0.35">
      <c r="F34" s="22">
        <f>I33-D33</f>
        <v>-3.6206896551724377E-2</v>
      </c>
      <c r="G34" s="28"/>
    </row>
    <row r="35" spans="1:12" x14ac:dyDescent="0.35">
      <c r="F35" s="22">
        <f>K33-D33</f>
        <v>-3.1034482758620752E-2</v>
      </c>
      <c r="I35" s="51" t="s">
        <v>47</v>
      </c>
    </row>
    <row r="36" spans="1:12" x14ac:dyDescent="0.35">
      <c r="A36" s="5" t="s">
        <v>22</v>
      </c>
      <c r="B36" s="6" t="s">
        <v>23</v>
      </c>
      <c r="D36" s="54" t="s">
        <v>26</v>
      </c>
      <c r="E36" s="54"/>
      <c r="F36" s="29"/>
      <c r="G36" s="54" t="s">
        <v>27</v>
      </c>
      <c r="H36" s="54"/>
    </row>
    <row r="37" spans="1:12" x14ac:dyDescent="0.35">
      <c r="A37" s="8" t="s">
        <v>24</v>
      </c>
      <c r="B37" s="11">
        <v>7900</v>
      </c>
      <c r="D37" t="s">
        <v>24</v>
      </c>
      <c r="E37" s="12">
        <v>0.61</v>
      </c>
      <c r="G37" t="s">
        <v>24</v>
      </c>
      <c r="H37" s="12">
        <v>0.74</v>
      </c>
    </row>
    <row r="38" spans="1:12" x14ac:dyDescent="0.35">
      <c r="A38" s="8" t="s">
        <v>25</v>
      </c>
      <c r="B38" s="11">
        <v>10850</v>
      </c>
      <c r="D38" t="s">
        <v>25</v>
      </c>
      <c r="E38" s="12">
        <v>0.39</v>
      </c>
      <c r="G38" t="s">
        <v>25</v>
      </c>
      <c r="H38" s="12">
        <v>0.26</v>
      </c>
    </row>
    <row r="39" spans="1:12" x14ac:dyDescent="0.35">
      <c r="A39" s="8"/>
      <c r="B39" s="11"/>
      <c r="E39" s="12"/>
      <c r="H39" s="12"/>
    </row>
    <row r="40" spans="1:12" x14ac:dyDescent="0.35">
      <c r="A40" s="5" t="s">
        <v>28</v>
      </c>
      <c r="B40" s="6" t="s">
        <v>29</v>
      </c>
    </row>
    <row r="41" spans="1:12" x14ac:dyDescent="0.35">
      <c r="A41" s="8" t="s">
        <v>30</v>
      </c>
      <c r="B41" s="14">
        <v>4.4999999999999998E-2</v>
      </c>
    </row>
    <row r="42" spans="1:12" x14ac:dyDescent="0.35">
      <c r="A42" s="8" t="s">
        <v>31</v>
      </c>
      <c r="B42" s="14">
        <v>0.128</v>
      </c>
    </row>
    <row r="43" spans="1:12" x14ac:dyDescent="0.35">
      <c r="A43" s="8" t="s">
        <v>32</v>
      </c>
      <c r="B43" s="14">
        <v>0.109</v>
      </c>
    </row>
    <row r="45" spans="1:12" x14ac:dyDescent="0.35">
      <c r="A45" s="5" t="s">
        <v>33</v>
      </c>
      <c r="B45" s="6" t="s">
        <v>34</v>
      </c>
    </row>
    <row r="46" spans="1:12" x14ac:dyDescent="0.35">
      <c r="A46" s="8" t="s">
        <v>35</v>
      </c>
      <c r="B46" s="16">
        <v>0.02</v>
      </c>
    </row>
    <row r="47" spans="1:12" x14ac:dyDescent="0.35">
      <c r="A47" s="8" t="s">
        <v>36</v>
      </c>
      <c r="B47" s="16">
        <v>0.17</v>
      </c>
    </row>
    <row r="48" spans="1:12" x14ac:dyDescent="0.35">
      <c r="A48" s="8" t="s">
        <v>37</v>
      </c>
      <c r="B48" s="16">
        <v>0.04</v>
      </c>
    </row>
    <row r="50" spans="1:3" x14ac:dyDescent="0.35">
      <c r="A50" s="5" t="s">
        <v>38</v>
      </c>
      <c r="B50" s="6" t="s">
        <v>39</v>
      </c>
      <c r="C50" s="6" t="s">
        <v>40</v>
      </c>
    </row>
    <row r="51" spans="1:3" x14ac:dyDescent="0.35">
      <c r="A51" s="4" t="s">
        <v>4</v>
      </c>
      <c r="B51" s="15">
        <v>0.54</v>
      </c>
      <c r="C51" s="15">
        <v>0.61</v>
      </c>
    </row>
    <row r="52" spans="1:3" x14ac:dyDescent="0.35">
      <c r="A52" s="4" t="s">
        <v>5</v>
      </c>
      <c r="B52" s="15">
        <v>0.56000000000000005</v>
      </c>
      <c r="C52" s="15">
        <v>0.64</v>
      </c>
    </row>
    <row r="53" spans="1:3" x14ac:dyDescent="0.35">
      <c r="A53" s="4" t="s">
        <v>6</v>
      </c>
      <c r="B53" s="15">
        <v>0.57999999999999996</v>
      </c>
      <c r="C53" s="15">
        <v>0.68</v>
      </c>
    </row>
  </sheetData>
  <mergeCells count="3">
    <mergeCell ref="D36:E36"/>
    <mergeCell ref="G36:H36"/>
    <mergeCell ref="G25:K25"/>
  </mergeCells>
  <pageMargins left="0.511811024" right="0.511811024" top="0.78740157499999996" bottom="0.78740157499999996" header="0.31496062000000002" footer="0.31496062000000002"/>
  <headerFooter>
    <oddHeader>&amp;C&amp;"Aptos"&amp;10&amp;KFF0000 PÚBLICO&amp;1#_x000D_</oddHeader>
    <oddFooter>&amp;C_x000D_&amp;1#&amp;"Aptos"&amp;10&amp;KFF0000 PÚBLICO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Pequeno Da Silva</dc:creator>
  <cp:lastModifiedBy>Mauro Pequeno da Silva</cp:lastModifiedBy>
  <dcterms:created xsi:type="dcterms:W3CDTF">2026-08-03T00:06:40Z</dcterms:created>
  <dcterms:modified xsi:type="dcterms:W3CDTF">2026-10-02T01:57:24Z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6648805-0676-427f-8b3f-8deff0dc1a0a_Enabled">
    <vt:lpwstr>true</vt:lpwstr>
  </property>
  <property fmtid="{D5CDD505-2E9C-101B-9397-08002B2CF9AE}" pid="3" name="MSIP_Label_f6648805-0676-427f-8b3f-8deff0dc1a0a_SetDate">
    <vt:lpwstr>2026-08-03T02:56:30Z</vt:lpwstr>
  </property>
  <property fmtid="{D5CDD505-2E9C-101B-9397-08002B2CF9AE}" pid="4" name="MSIP_Label_f6648805-0676-427f-8b3f-8deff0dc1a0a_Method">
    <vt:lpwstr>Privileged</vt:lpwstr>
  </property>
  <property fmtid="{D5CDD505-2E9C-101B-9397-08002B2CF9AE}" pid="5" name="MSIP_Label_f6648805-0676-427f-8b3f-8deff0dc1a0a_Name">
    <vt:lpwstr>Público</vt:lpwstr>
  </property>
  <property fmtid="{D5CDD505-2E9C-101B-9397-08002B2CF9AE}" pid="6" name="MSIP_Label_f6648805-0676-427f-8b3f-8deff0dc1a0a_SiteId">
    <vt:lpwstr>77d68323-6f4b-460f-8aae-d32c654ec490</vt:lpwstr>
  </property>
  <property fmtid="{D5CDD505-2E9C-101B-9397-08002B2CF9AE}" pid="7" name="MSIP_Label_f6648805-0676-427f-8b3f-8deff0dc1a0a_ActionId">
    <vt:lpwstr>41c50d29-78b7-4b9f-b47e-70cae37e32af</vt:lpwstr>
  </property>
  <property fmtid="{D5CDD505-2E9C-101B-9397-08002B2CF9AE}" pid="8" name="MSIP_Label_f6648805-0676-427f-8b3f-8deff0dc1a0a_ContentBits">
    <vt:lpwstr>3</vt:lpwstr>
  </property>
  <property fmtid="{D5CDD505-2E9C-101B-9397-08002B2CF9AE}" pid="9" name="MSIP_Label_f6648805-0676-427f-8b3f-8deff0dc1a0a_Tag">
    <vt:lpwstr>10, 0, 1, 1</vt:lpwstr>
  </property>
</Properties>
</file>